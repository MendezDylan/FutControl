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ylan\Documents\GitHub\FutControl\"/>
    </mc:Choice>
  </mc:AlternateContent>
  <xr:revisionPtr revIDLastSave="0" documentId="13_ncr:1_{1B2D339D-3D4D-400F-BF6A-59DAAE5E73AE}" xr6:coauthVersionLast="47" xr6:coauthVersionMax="47" xr10:uidLastSave="{00000000-0000-0000-0000-000000000000}"/>
  <bookViews>
    <workbookView xWindow="-108" yWindow="-108" windowWidth="23256" windowHeight="12456" activeTab="6" xr2:uid="{FE82C155-E5CE-4408-8EDA-7F803DFD37CE}"/>
  </bookViews>
  <sheets>
    <sheet name="Partidos" sheetId="9" r:id="rId1"/>
    <sheet name="Caja" sheetId="10" r:id="rId2"/>
    <sheet name="Bancos" sheetId="11" r:id="rId3"/>
    <sheet name="Gastos" sheetId="8" r:id="rId4"/>
    <sheet name="Clientes" sheetId="3" r:id="rId5"/>
    <sheet name="Reporte Mensual" sheetId="5" r:id="rId6"/>
    <sheet name="DATOS" sheetId="12" r:id="rId7"/>
  </sheets>
  <externalReferences>
    <externalReference r:id="rId8"/>
    <externalReference r:id="rId9"/>
    <externalReference r:id="rId10"/>
  </externalReferences>
  <definedNames>
    <definedName name="Comprobantes">'[1]Tabla de Comprobantes'!$A$3:$A$65</definedName>
    <definedName name="Costo">OFFSET([2]!Tabla1[[#Headers],[Costo Total]],1,,COUNTIF([2]!Tabla1[Costo Total],"&lt;&gt;0"))</definedName>
    <definedName name="Feriados">[3]Feriados!$B$6:$C$28</definedName>
    <definedName name="Ingreso">OFFSET([2]!Tabla1[[#Headers],[Ingreso Total]],1,,COUNTIF([2]!Tabla1[Ingreso Total],"&lt;&gt;0"))</definedName>
    <definedName name="PC">'[1]Tabla de Comprobantes'!$E$3:$E$14</definedName>
    <definedName name="Resultado_">OFFSET([2]!Tabla1[[#Headers],[Resultado]],1,,COUNTIF([2]!Tabla1[Resultado],"&lt;&gt;0"))</definedName>
    <definedName name="Servicio">OFFSET([2]!Tabla1[[#Headers],[Servicio ]],1,,COUNTA([2]!Tabla1[[Servicio ]])-COUNTIF([2]!Tabla1[[Servicio ]],"")-1)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1" l="1"/>
  <c r="B2" i="8"/>
  <c r="E5" i="5" l="1"/>
  <c r="C5" i="5"/>
  <c r="D5" i="5"/>
  <c r="Q18" i="5"/>
  <c r="P18" i="5"/>
  <c r="O18" i="5"/>
  <c r="O20" i="5" s="1"/>
  <c r="C2" i="9"/>
  <c r="P20" i="5" l="1"/>
  <c r="Q20" i="5" s="1"/>
  <c r="H18" i="5"/>
  <c r="I18" i="5"/>
  <c r="J18" i="5"/>
  <c r="K18" i="5"/>
  <c r="M18" i="5"/>
  <c r="N18" i="5"/>
  <c r="C18" i="5"/>
  <c r="D18" i="5"/>
  <c r="E18" i="5"/>
  <c r="G18" i="5"/>
  <c r="F18" i="5"/>
  <c r="F20" i="5" s="1"/>
  <c r="L18" i="5"/>
  <c r="G20" i="5" l="1"/>
  <c r="H20" i="5" s="1"/>
  <c r="I20" i="5" s="1"/>
  <c r="J20" i="5" s="1"/>
  <c r="K20" i="5" s="1"/>
  <c r="L20" i="5" s="1"/>
  <c r="M20" i="5" s="1"/>
  <c r="N20" i="5" s="1"/>
  <c r="C20" i="5" s="1"/>
  <c r="D20" i="5" s="1"/>
  <c r="E20" i="5" s="1"/>
</calcChain>
</file>

<file path=xl/sharedStrings.xml><?xml version="1.0" encoding="utf-8"?>
<sst xmlns="http://schemas.openxmlformats.org/spreadsheetml/2006/main" count="78" uniqueCount="60">
  <si>
    <t>SINPE</t>
  </si>
  <si>
    <t>CLIENTE</t>
  </si>
  <si>
    <t>EFECTIVO</t>
  </si>
  <si>
    <t>NOMBRE</t>
  </si>
  <si>
    <t>NUMERO</t>
  </si>
  <si>
    <t>TOTAL</t>
  </si>
  <si>
    <t>FECHA</t>
  </si>
  <si>
    <t>APELLIDO</t>
  </si>
  <si>
    <t>Dylan</t>
  </si>
  <si>
    <t>Mendez</t>
  </si>
  <si>
    <t>MONTO DEUDA</t>
  </si>
  <si>
    <t>DEUDORES</t>
  </si>
  <si>
    <t>Dylan Mendez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</si>
  <si>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</si>
  <si>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</si>
  <si>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</si>
  <si>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</si>
  <si>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</si>
  <si>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</si>
  <si>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</si>
  <si>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</si>
  <si>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</si>
  <si>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</si>
  <si>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</si>
  <si>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</si>
  <si>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Cancha</t>
  </si>
  <si>
    <t>Alquiler</t>
  </si>
  <si>
    <t>Otros</t>
  </si>
  <si>
    <t>Ingresos</t>
  </si>
  <si>
    <t>Servicios</t>
  </si>
  <si>
    <t>Otros gastos</t>
  </si>
  <si>
    <t>Salario</t>
  </si>
  <si>
    <t>Limpieza</t>
  </si>
  <si>
    <t>Inversion</t>
  </si>
  <si>
    <t>Egresos</t>
  </si>
  <si>
    <t>Resultado por mes</t>
  </si>
  <si>
    <t>Saldo acumulado</t>
  </si>
  <si>
    <t>Monto</t>
  </si>
  <si>
    <t>MES</t>
  </si>
  <si>
    <t>TIPO</t>
  </si>
  <si>
    <t>DESCRIPCIÓN</t>
  </si>
  <si>
    <t>MONTO</t>
  </si>
  <si>
    <t>CONTROL</t>
  </si>
  <si>
    <t>ID</t>
  </si>
  <si>
    <t>ELIMINADA</t>
  </si>
  <si>
    <t>Estado</t>
  </si>
  <si>
    <t>Salidas</t>
  </si>
  <si>
    <t>Monedas</t>
  </si>
  <si>
    <t>Billetes</t>
  </si>
  <si>
    <t>CERRADO</t>
  </si>
  <si>
    <t>Ingresos efectivo</t>
  </si>
  <si>
    <t>Ingresos totales</t>
  </si>
  <si>
    <t>Efectivo reportado</t>
  </si>
  <si>
    <t>Inicio</t>
  </si>
  <si>
    <t>Banco</t>
  </si>
  <si>
    <t>Total</t>
  </si>
  <si>
    <t>Caja</t>
  </si>
  <si>
    <t>Diferencia</t>
  </si>
  <si>
    <t>Fecha apertura</t>
  </si>
  <si>
    <t>Fecha cierre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</si>
</sst>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40A]dddd\,\ d\ &quot;de&quot;\ mmmm\ &quot;de&quot;\ yyyy\,\ hh:mm:ss"/>
    <numFmt numFmtId="165" formatCode="&quot;₡&quot;#,##0"/>
    <numFmt numFmtId="166" formatCode="&quot;$&quot;\ #,##0.00"/>
    <numFmt numFmtId="167" formatCode="&quot;₡&quot;#,##0.00"/>
  </numFmts>
  <fonts count="1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3"/>
      <color rgb="FF0070C0"/>
      <name val="Calibri"/>
      <family val="2"/>
      <scheme val="minor"/>
    </font>
    <font>
      <sz val="14"/>
      <color rgb="FF00B050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sz val="14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name val="Open Sans"/>
      <family val="2"/>
    </font>
    <font>
      <b/>
      <sz val="2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slantDashDot">
        <color theme="0" tint="-4.9989318521683403E-2"/>
      </left>
      <right style="slantDashDot">
        <color theme="0" tint="-4.9989318521683403E-2"/>
      </right>
      <top style="slantDashDot">
        <color theme="0" tint="-4.9989318521683403E-2"/>
      </top>
      <bottom style="slantDashDot">
        <color theme="0" tint="-4.9989318521683403E-2"/>
      </bottom>
      <diagonal/>
    </border>
    <border>
      <left/>
      <right style="slantDashDot">
        <color theme="0" tint="-4.9989318521683403E-2"/>
      </right>
      <top/>
      <bottom style="double">
        <color indexed="64"/>
      </bottom>
      <diagonal/>
    </border>
    <border>
      <left style="slantDashDot">
        <color theme="0" tint="-4.9989318521683403E-2"/>
      </left>
      <right style="slantDashDot">
        <color theme="0" tint="-4.9989318521683403E-2"/>
      </right>
      <top style="thin">
        <color indexed="64"/>
      </top>
      <bottom style="double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21">
    <xf numFmtId="0" fontId="0" fillId="0" borderId="0" xfId="0"/>
    <xf numFmtId="164" fontId="1" fillId="0" borderId="0" xfId="0" applyNumberFormat="1" applyFont="1"/>
    <xf numFmtId="0" fontId="2" fillId="2" borderId="0" xfId="0" applyFont="1" applyFill="1"/>
    <xf numFmtId="0" fontId="3" fillId="3" borderId="0" xfId="0" applyFont="1" applyFill="1" applyAlignment="1">
      <alignment horizontal="center" vertical="center"/>
    </xf>
    <xf numFmtId="0" fontId="4" fillId="0" borderId="0" xfId="0" applyFont="1"/>
    <xf numFmtId="165" fontId="5" fillId="0" borderId="1" xfId="0" applyNumberFormat="1" applyFont="1" applyBorder="1" applyAlignment="1">
      <alignment horizontal="center" vertical="center"/>
    </xf>
    <xf numFmtId="0" fontId="4" fillId="0" borderId="2" xfId="0" applyFont="1" applyBorder="1"/>
    <xf numFmtId="165" fontId="6" fillId="0" borderId="3" xfId="0" applyNumberFormat="1" applyFont="1" applyBorder="1" applyAlignment="1">
      <alignment horizontal="center" vertical="center"/>
    </xf>
    <xf numFmtId="0" fontId="7" fillId="0" borderId="0" xfId="0" applyFont="1"/>
    <xf numFmtId="0" fontId="7" fillId="0" borderId="2" xfId="0" applyFont="1" applyBorder="1"/>
    <xf numFmtId="0" fontId="8" fillId="0" borderId="0" xfId="0" applyFont="1"/>
    <xf numFmtId="166" fontId="0" fillId="0" borderId="0" xfId="0" applyNumberFormat="1"/>
    <xf numFmtId="0" fontId="9" fillId="0" borderId="0" xfId="0" applyFont="1" applyAlignment="1">
      <alignment wrapText="1"/>
    </xf>
    <xf numFmtId="167" fontId="5" fillId="0" borderId="1" xfId="0" applyNumberFormat="1" applyFont="1" applyBorder="1" applyAlignment="1">
      <alignment horizontal="center" vertical="center"/>
    </xf>
    <xf numFmtId="167" fontId="0" fillId="0" borderId="0" xfId="0" applyNumberFormat="1"/>
    <xf numFmtId="164" fontId="10" fillId="0" borderId="0" xfId="0" applyNumberFormat="1" applyFont="1"/>
    <xf numFmtId="165" fontId="0" fillId="0" borderId="0" xfId="0" applyNumberFormat="1"/>
    <xf numFmtId="1" fontId="0" fillId="0" borderId="0" xfId="0" applyNumberFormat="1"/>
    <xf numFmtId="0" fontId="11" fillId="2" borderId="4" xfId="0" applyFont="1" applyFill="1" applyBorder="1" applyAlignment="1">
      <alignment horizontal="center" wrapText="1"/>
    </xf>
    <xf numFmtId="0" fontId="11" fillId="2" borderId="5" xfId="0" applyFont="1" applyFill="1" applyBorder="1" applyAlignment="1">
      <alignment horizontal="center" wrapText="1"/>
    </xf>
    <xf numFmtId="0" fontId="11" fillId="2" borderId="6" xfId="0" applyFont="1" applyFill="1" applyBorder="1" applyAlignment="1">
      <alignment horizontal="center" wrapText="1"/>
    </xf>
  </cellXfs>
  <cellStyles count="1">
    <cellStyle name="Normal" xfId="0" builtinId="0"/>
  </cellStyles>
  <dxfs count="11"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140A]dddd\,\ d\ &quot;de&quot;\ mmmm\ &quot;de&quot;\ yyyy\,\ 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140A]dddd\,\ d\ &quot;de&quot;\ mmmm\ &quot;de&quot;\ yyyy\,\ hh:mm:ss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64" formatCode="[$-140A]dddd\,\ d\ &quot;de&quot;\ mmmm\ &quot;de&quot;\ yyyy\,\ hh:mm:ss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64" formatCode="[$-140A]dddd\,\ d\ &quot;de&quot;\ mmmm\ &quot;de&quot;\ yyyy\,\ hh:mm:ss"/>
    </dxf>
    <dxf>
      <numFmt numFmtId="0" formatCode="General"/>
    </dxf>
    <dxf>
      <numFmt numFmtId="165" formatCode="&quot;₡&quot;#,##0"/>
    </dxf>
    <dxf>
      <numFmt numFmtId="165" formatCode="&quot;₡&quot;#,##0"/>
    </dxf>
    <dxf>
      <numFmt numFmtId="165" formatCode="&quot;₡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140A]dddd\,\ d\ &quot;de&quot;\ mmmm\ &quot;de&quot;\ yyyy\,\ hh:mm:ss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64" formatCode="[$-140A]dddd\,\ d\ &quot;de&quot;\ mmmm\ &quot;de&quot;\ yyyy\,\ hh:mm:ss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Ingresos vs Egresos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>
        <c:manualLayout>
          <c:layoutTarget val="inner"/>
          <c:xMode val="edge"/>
          <c:yMode val="edge"/>
          <c:x val="0.11535468380353801"/>
          <c:y val="0.16777173626935601"/>
          <c:w val="0.86272204763642213"/>
          <c:h val="0.47292436582962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'Reporte Mensual'!$B$8</c:f>
              <c:strCache>
                <c:ptCount val="1"/>
                <c:pt idx="0">
                  <c:v>Ingresos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'Reporte Mensual'!$C$4:$K$4</c:f>
              <c:strCache>
                <c:ptCount val="9"/>
                <c:pt idx="0">
                  <c:v>OCTUBRE</c:v>
                </c:pt>
                <c:pt idx="1">
                  <c:v>NOVIEMBRE</c:v>
                </c:pt>
                <c:pt idx="2">
                  <c:v>DICIEMBRE</c:v>
                </c:pt>
                <c:pt idx="3">
                  <c:v>ENERO</c:v>
                </c:pt>
                <c:pt idx="4">
                  <c:v>FEBRERO</c:v>
                </c:pt>
                <c:pt idx="5">
                  <c:v>MARZO</c:v>
                </c:pt>
                <c:pt idx="6">
                  <c:v>ABRIL</c:v>
                </c:pt>
                <c:pt idx="7">
                  <c:v>MAYO</c:v>
                </c:pt>
                <c:pt idx="8">
                  <c:v>JUNIO</c:v>
                </c:pt>
              </c:strCache>
            </c:strRef>
          </c:cat>
          <c:val>
            <c:numRef>
              <c:f>'Reporte Mensual'!$C$8:$K$8</c:f>
              <c:numCache>
                <c:formatCode>"₡"#\ ##0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9936-44FB-84E1-54B47C8AE7D1}"/>
            </c:ext>
          </c:extLst>
        </c:ser>
        <c:ser>
          <c:idx val="1"/>
          <c:order val="1"/>
          <c:tx>
            <c:strRef>
              <c:f>'Reporte Mensual'!$B$16</c:f>
              <c:strCache>
                <c:ptCount val="1"/>
                <c:pt idx="0">
                  <c:v>Servicios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'Reporte Mensual'!$C$4:$K$4</c:f>
              <c:strCache>
                <c:ptCount val="9"/>
                <c:pt idx="0">
                  <c:v>OCTUBRE</c:v>
                </c:pt>
                <c:pt idx="1">
                  <c:v>NOVIEMBRE</c:v>
                </c:pt>
                <c:pt idx="2">
                  <c:v>DICIEMBRE</c:v>
                </c:pt>
                <c:pt idx="3">
                  <c:v>ENERO</c:v>
                </c:pt>
                <c:pt idx="4">
                  <c:v>FEBRERO</c:v>
                </c:pt>
                <c:pt idx="5">
                  <c:v>MARZO</c:v>
                </c:pt>
                <c:pt idx="6">
                  <c:v>ABRIL</c:v>
                </c:pt>
                <c:pt idx="7">
                  <c:v>MAYO</c:v>
                </c:pt>
                <c:pt idx="8">
                  <c:v>JUNIO</c:v>
                </c:pt>
              </c:strCache>
            </c:strRef>
          </c:cat>
          <c:val>
            <c:numRef>
              <c:f>'Reporte Mensual'!$C$16:$K$16</c:f>
              <c:numCache>
                <c:formatCode>"₡"#\ ##0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1-9936-44FB-84E1-54B47C8AE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896640"/>
        <c:axId val="854419616"/>
      </c:barChart>
      <c:catAx>
        <c:axId val="211896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854419616"/>
        <c:crosses val="autoZero"/>
        <c:auto val="1"/>
        <c:lblAlgn val="ctr"/>
        <c:lblOffset val="100"/>
        <c:noMultiLvlLbl val="0"/>
      </c:catAx>
      <c:valAx>
        <c:axId val="8544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₡&quot;#\ 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211896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'Reporte Mensual'!$B$20</c:f>
              <c:strCache>
                <c:ptCount val="1"/>
                <c:pt idx="0">
                  <c:v>Saldo acumulado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'Reporte Mensual'!$C$4:$K$4</c:f>
              <c:strCache>
                <c:ptCount val="9"/>
                <c:pt idx="0">
                  <c:v>OCTUBRE</c:v>
                </c:pt>
                <c:pt idx="1">
                  <c:v>NOVIEMBRE</c:v>
                </c:pt>
                <c:pt idx="2">
                  <c:v>DICIEMBRE</c:v>
                </c:pt>
                <c:pt idx="3">
                  <c:v>ENERO</c:v>
                </c:pt>
                <c:pt idx="4">
                  <c:v>FEBRERO</c:v>
                </c:pt>
                <c:pt idx="5">
                  <c:v>MARZO</c:v>
                </c:pt>
                <c:pt idx="6">
                  <c:v>ABRIL</c:v>
                </c:pt>
                <c:pt idx="7">
                  <c:v>MAYO</c:v>
                </c:pt>
                <c:pt idx="8">
                  <c:v>JUNIO</c:v>
                </c:pt>
              </c:strCache>
            </c:strRef>
          </c:cat>
          <c:val>
            <c:numRef>
              <c:f>'Reporte Mensual'!$C$20:$K$20</c:f>
              <c:numCache>
                <c:formatCode>"₡"#\ ##0.00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52-4D5C-8762-CC98B50E2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4422416"/>
        <c:axId val="854422976"/>
      </c:lineChart>
      <c:catAx>
        <c:axId val="85442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854422976"/>
        <c:crosses val="autoZero"/>
        <c:auto val="1"/>
        <c:lblAlgn val="ctr"/>
        <c:lblOffset val="100"/>
        <c:noMultiLvlLbl val="0"/>
      </c:catAx>
      <c:valAx>
        <c:axId val="85442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₡&quot;#\ 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85442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20</xdr:row>
      <xdr:rowOff>130172</xdr:rowOff>
    </xdr:from>
    <xdr:to>
      <xdr:col>7</xdr:col>
      <xdr:colOff>355600</xdr:colOff>
      <xdr:row>42</xdr:row>
      <xdr:rowOff>174412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8CF5291-D9C6-4B62-81EA-8F8FD4C846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1</xdr:row>
      <xdr:rowOff>15478</xdr:rowOff>
    </xdr:from>
    <xdr:to>
      <xdr:col>6</xdr:col>
      <xdr:colOff>457199</xdr:colOff>
      <xdr:row>2</xdr:row>
      <xdr:rowOff>55483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92AF6AC1-72E7-4D1A-AC73-5BD36C40829E}"/>
            </a:ext>
          </a:extLst>
        </xdr:cNvPr>
        <xdr:cNvSpPr txBox="1"/>
      </xdr:nvSpPr>
      <xdr:spPr>
        <a:xfrm>
          <a:off x="266700" y="198358"/>
          <a:ext cx="5494019" cy="7410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400" b="1">
              <a:solidFill>
                <a:schemeClr val="bg1"/>
              </a:solidFill>
            </a:rPr>
            <a:t>Ingresos</a:t>
          </a:r>
          <a:r>
            <a:rPr lang="en-US" sz="2400" b="1" baseline="0">
              <a:solidFill>
                <a:schemeClr val="bg1"/>
              </a:solidFill>
            </a:rPr>
            <a:t> y Egresos</a:t>
          </a:r>
          <a:endParaRPr lang="en-U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702732</xdr:colOff>
      <xdr:row>21</xdr:row>
      <xdr:rowOff>67733</xdr:rowOff>
    </xdr:from>
    <xdr:to>
      <xdr:col>13</xdr:col>
      <xdr:colOff>903515</xdr:colOff>
      <xdr:row>38</xdr:row>
      <xdr:rowOff>169334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82DA3E2-B83A-4D73-BFB7-FDEFF0C045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0.01794</cdr:x>
      <cdr:y>0.01429</cdr:y>
    </cdr:from>
    <cdr:to>
      <cdr:x>0.35277</cdr:x>
      <cdr:y>0.08571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300" y="38100"/>
          <a:ext cx="21336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s-AR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ntiago/Downloads/planilla-de-excel-para-el-aplicativo-de-compras-y-vent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ecilia/Dropbox/Planilla%20Excel/Plantillas%20a%20subir%202018/Subidas/Ingresos%20y%20Gastos%20de%20Servicio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ecilia/Dropbox/Planilla%20Excel/Plantillas%20a%20subir%202018/Subidas/control-de-cobro-de-facturas-en-excel_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 de Comprobante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Ingresos Obtenidos"/>
      <sheetName val="Gastos Incurridos"/>
      <sheetName val="Resultado Obtenido"/>
      <sheetName val="Ingresos y Gastos de Servicios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Control de Facturas"/>
      <sheetName val="Clientes con Deudas"/>
      <sheetName val="Facturas Próximas a vencer"/>
      <sheetName val="Feriados"/>
      <sheetName val="Ayuda"/>
    </sheetNames>
    <sheetDataSet>
      <sheetData sheetId="0" refreshError="1"/>
      <sheetData sheetId="1" refreshError="1"/>
      <sheetData sheetId="2" refreshError="1"/>
      <sheetData sheetId="3" refreshError="1"/>
      <sheetData sheetId="4">
        <row r="6">
          <cell r="B6">
            <v>43203</v>
          </cell>
        </row>
      </sheetData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0488F7-0B33-47E6-A929-02C978E21664}" name="Partidos" displayName="Partidos" ref="A1:K2" totalsRowShown="0">
  <autoFilter ref="A1:K2" xr:uid="{870F823D-3363-473E-BE4F-049C21A5D55D}"/>
  <tableColumns count="11">
    <tableColumn id="1" xr3:uid="{35DEEC8A-7530-4891-A0C9-6D871CF92758}" name="CLIENTE"/>
    <tableColumn id="2" xr3:uid="{BDD45F75-2F37-4BFA-9F27-767F3043F845}" name="FECHA" dataDxfId="10"/>
    <tableColumn id="8" xr3:uid="{B5D66E2A-4C89-4BD4-A77F-F72A336E3790}" name="MES" dataDxfId="9">
      <calculatedColumnFormula>IF(B2="","",TEXT(B2,"MMMM"))</calculatedColumnFormula>
    </tableColumn>
    <tableColumn id="3" xr3:uid="{94D7FB87-3192-4539-B8A8-FC2F08641A94}" name="EFECTIVO" dataDxfId="8"/>
    <tableColumn id="4" xr3:uid="{7A4201BC-6D07-4F09-A73E-92ADD025318C}" name="SINPE" dataDxfId="7"/>
    <tableColumn id="7" xr3:uid="{C3B495C6-8FDE-4AFC-BD91-618F45478220}" name="DEUDORES"/>
    <tableColumn id="6" xr3:uid="{EA6D0837-B17D-4D84-A3D6-54245C343430}" name="MONTO DEUDA"/>
    <tableColumn id="5" xr3:uid="{8CC37A95-24A0-45F7-BDF0-99987AA20048}" name="TOTAL" dataDxfId="6"/>
    <tableColumn id="13" xr3:uid="{32E3A4A5-A119-4B4E-B983-69F538E6692A}" name="CONTROL"/>
    <tableColumn id="14" xr3:uid="{F0CDBAAE-8F85-498B-B49C-193D104EE6C4}" name="ELIMINADA"/>
    <tableColumn id="11" xr3:uid="{6AAB62E0-C066-46A1-A415-F9213EF02870}" name="ID" dataDxfId="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7E5858-4B9F-48C4-A4A1-08038E687320}" name="Tabla5" displayName="Tabla5" ref="A1:L2" totalsRowShown="0">
  <autoFilter ref="A1:L2" xr:uid="{577E5858-4B9F-48C4-A4A1-08038E687320}"/>
  <tableColumns count="12">
    <tableColumn id="1" xr3:uid="{EA14D8E6-116F-4A3C-BD5B-2FF0036594AC}" name="Fecha apertura" dataDxfId="4">
      <calculatedColumnFormula>NOW()</calculatedColumnFormula>
    </tableColumn>
    <tableColumn id="2" xr3:uid="{731E66EC-E4D5-48C6-874F-1288E49010EC}" name="Billetes"/>
    <tableColumn id="8" xr3:uid="{915DE040-2AD4-4E0F-AA94-FBD562CC6F13}" name="Monedas"/>
    <tableColumn id="3" xr3:uid="{96F1FE9D-579D-41B0-B435-142F48BD8495}" name="SINPE"/>
    <tableColumn id="10" xr3:uid="{79D88E1E-26D2-413B-9DE5-4A737A387551}" name="Ingresos efectivo"/>
    <tableColumn id="9" xr3:uid="{E37E02A2-050B-4DD5-AFE6-BBBA213D1AA5}" name="Ingresos totales"/>
    <tableColumn id="11" xr3:uid="{AD4D056F-7919-4A61-ADC8-81290E2AECBA}" name="Efectivo reportado"/>
    <tableColumn id="4" xr3:uid="{4CF0E2B1-1CA9-4E03-8BAB-F60157E5283D}" name="Salidas"/>
    <tableColumn id="5" xr3:uid="{40851C48-6DA2-4416-90CF-8F1A1DC39175}" name="Inicio"/>
    <tableColumn id="6" xr3:uid="{7DCF35E1-88EA-429F-9019-D87F2EB938EC}" name="Diferencia"/>
    <tableColumn id="7" xr3:uid="{F814D358-7CBD-4895-A597-8437EAB9668E}" name="Estado"/>
    <tableColumn id="12" xr3:uid="{6309AEE5-13C2-4CBA-8D2C-08C53CEBE3D8}" name="Fecha cierre" dataDxfId="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9E2EC79-60F3-42F6-89A6-1B8B834903BD}" name="Tabla6" displayName="Tabla6" ref="A1:B6" totalsRowCount="1">
  <autoFilter ref="A1:B5" xr:uid="{69E2EC79-60F3-42F6-89A6-1B8B834903BD}"/>
  <tableColumns count="2">
    <tableColumn id="1" xr3:uid="{707A9F90-CEB7-4B95-BC81-EF1B578B108D}" name="Banco" totalsRowLabel="Total"/>
    <tableColumn id="2" xr3:uid="{D75B19DF-8D39-4BA9-A3CD-E9569AD4DBEA}" name="Monto" totalsRowFunction="su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375E920-107F-44B9-981B-A1BF1353E9FF}" name="Tabla4" displayName="Tabla4" ref="A1:E2" totalsRowShown="0">
  <autoFilter ref="A1:E2" xr:uid="{2375E920-107F-44B9-981B-A1BF1353E9FF}"/>
  <tableColumns count="5">
    <tableColumn id="1" xr3:uid="{DA2AC921-C2AA-471F-829D-5AA11A839E4B}" name="FECHA" dataDxfId="2"/>
    <tableColumn id="2" xr3:uid="{256DC123-FD67-46A2-B01D-DF7E870D1B08}" name="MES" dataDxfId="1">
      <calculatedColumnFormula>IF(A2="","",TEXT(A2,"MMMM"))</calculatedColumnFormula>
    </tableColumn>
    <tableColumn id="3" xr3:uid="{428A6B46-1F38-435A-BCB8-226F6548983A}" name="TIPO"/>
    <tableColumn id="4" xr3:uid="{4F0E75A9-0B45-4AAA-ACAB-B012723103B5}" name="DESCRIPCIÓN"/>
    <tableColumn id="5" xr3:uid="{FF6A899E-C3C0-450B-B80C-0EBF2D736A77}" name="MONTO" dataDxfId="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2BE7C8-0DB3-4B2F-A9B5-AED63AA50E11}" name="Tabla13" displayName="Tabla13" ref="A1:C2" totalsRowShown="0">
  <autoFilter ref="A1:C2" xr:uid="{EC2BE7C8-0DB3-4B2F-A9B5-AED63AA50E11}"/>
  <tableColumns count="3">
    <tableColumn id="1" xr3:uid="{C45AB590-D061-41B7-BD29-C2150C843310}" name="NOMBRE"/>
    <tableColumn id="2" xr3:uid="{472D9681-3019-4998-B78B-D915490563AE}" name="APELLIDO"/>
    <tableColumn id="3" xr3:uid="{498182BE-03BC-41AD-9581-A82EEF8B99A1}" name="NUMERO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47F34-8331-43CE-9A66-7DFDA95F9F18}">
  <sheetPr codeName="Hoja2"/>
  <dimension ref="A1:K16"/>
  <sheetViews>
    <sheetView zoomScaleNormal="100" workbookViewId="0">
      <selection activeCell="B27" sqref="B27"/>
    </sheetView>
  </sheetViews>
  <sheetFormatPr baseColWidth="10" defaultRowHeight="14.4" x14ac:dyDescent="0.3"/>
  <cols>
    <col min="1" max="1" width="12.44140625" bestFit="1" customWidth="1"/>
    <col min="2" max="2" width="44.88671875" bestFit="1" customWidth="1"/>
    <col min="3" max="3" width="7.33203125" bestFit="1" customWidth="1"/>
    <col min="6" max="6" width="12.44140625" bestFit="1" customWidth="1"/>
    <col min="7" max="7" width="16.44140625" bestFit="1" customWidth="1"/>
    <col min="9" max="9" width="11.33203125" bestFit="1" customWidth="1"/>
    <col min="10" max="10" width="13" bestFit="1" customWidth="1"/>
    <col min="11" max="11" width="5" bestFit="1" customWidth="1"/>
  </cols>
  <sheetData>
    <row r="1" spans="1:11" x14ac:dyDescent="0.3">
      <c r="A1" t="s">
        <v>1</v>
      </c>
      <c r="B1" t="s">
        <v>6</v>
      </c>
      <c r="C1" t="s">
        <v>38</v>
      </c>
      <c r="D1" t="s">
        <v>2</v>
      </c>
      <c r="E1" t="s">
        <v>0</v>
      </c>
      <c r="F1" t="s">
        <v>11</v>
      </c>
      <c r="G1" t="s">
        <v>10</v>
      </c>
      <c r="H1" t="s">
        <v>5</v>
      </c>
      <c r="I1" t="s">
        <v>42</v>
      </c>
      <c r="J1" t="s">
        <v>44</v>
      </c>
      <c r="K1" t="s">
        <v>43</v>
      </c>
    </row>
    <row r="2" spans="1:11" ht="15.6" x14ac:dyDescent="0.35">
      <c r="A2" t="s">
        <v>12</v>
      </c>
      <c r="B2" s="15">
        <v>44840.345150462963</v>
      </c>
      <c r="C2" s="1" t="str">
        <f t="shared" ref="C2" si="0">IF(B2="","",TEXT(B2,"MMMM"))</f>
        <v>octubre</v>
      </c>
      <c r="D2" s="16">
        <v>0</v>
      </c>
      <c r="E2" s="16">
        <v>0</v>
      </c>
      <c r="H2" s="16">
        <v>0</v>
      </c>
      <c r="I2" t="b">
        <v>1</v>
      </c>
      <c r="J2" t="b">
        <v>1</v>
      </c>
      <c r="K2">
        <v>0</v>
      </c>
    </row>
    <row r="3" spans="1:11" ht="15.6" x14ac:dyDescent="0.35">
      <c r="B3" s="15"/>
      <c r="C3" s="1"/>
      <c r="D3" s="16"/>
      <c r="E3" s="16"/>
      <c r="H3" s="16"/>
    </row>
    <row r="4" spans="1:11" ht="15.6" x14ac:dyDescent="0.35">
      <c r="B4" s="15"/>
      <c r="C4" s="1"/>
      <c r="D4" s="16"/>
      <c r="E4" s="16"/>
      <c r="H4" s="16"/>
    </row>
    <row r="5" spans="1:11" ht="15.6" x14ac:dyDescent="0.35">
      <c r="B5" s="15"/>
      <c r="C5" s="1"/>
      <c r="D5" s="16"/>
      <c r="E5" s="16"/>
      <c r="H5" s="16"/>
    </row>
    <row r="6" spans="1:11" ht="15.6" x14ac:dyDescent="0.35">
      <c r="B6" s="15"/>
      <c r="C6" s="1"/>
      <c r="D6" s="16"/>
      <c r="E6" s="16"/>
      <c r="H6" s="16"/>
    </row>
    <row r="7" spans="1:11" ht="15.6" x14ac:dyDescent="0.35">
      <c r="B7" s="15"/>
      <c r="C7" s="1"/>
      <c r="D7" s="16"/>
      <c r="E7" s="16"/>
      <c r="H7" s="16"/>
    </row>
    <row r="8" spans="1:11" ht="15.6" x14ac:dyDescent="0.35">
      <c r="B8" s="15"/>
      <c r="C8" s="1"/>
      <c r="D8" s="16"/>
      <c r="E8" s="16"/>
      <c r="H8" s="16"/>
    </row>
    <row r="9" spans="1:11" ht="15.6" x14ac:dyDescent="0.35">
      <c r="B9" s="15"/>
      <c r="C9" s="1"/>
      <c r="D9" s="16"/>
      <c r="E9" s="16"/>
      <c r="H9" s="16"/>
    </row>
    <row r="10" spans="1:11" ht="15.6" x14ac:dyDescent="0.35">
      <c r="B10" s="15"/>
      <c r="C10" s="1"/>
      <c r="D10" s="16"/>
      <c r="E10" s="16"/>
      <c r="H10" s="16"/>
    </row>
    <row r="11" spans="1:11" ht="15.6" x14ac:dyDescent="0.35">
      <c r="B11" s="15"/>
      <c r="C11" s="1"/>
      <c r="D11" s="16"/>
      <c r="E11" s="16"/>
      <c r="H11" s="16"/>
    </row>
    <row r="12" spans="1:11" ht="15.6" x14ac:dyDescent="0.35">
      <c r="B12" s="15"/>
      <c r="C12" s="1"/>
      <c r="D12" s="16"/>
      <c r="E12" s="16"/>
      <c r="H12" s="16"/>
    </row>
    <row r="13" spans="1:11" ht="15.6" x14ac:dyDescent="0.35">
      <c r="B13" s="15"/>
      <c r="C13" s="1"/>
      <c r="D13" s="16"/>
      <c r="E13" s="16"/>
      <c r="H13" s="16"/>
    </row>
    <row r="14" spans="1:11" ht="15.6" x14ac:dyDescent="0.35">
      <c r="B14" s="15"/>
      <c r="C14" s="1"/>
      <c r="D14" s="16"/>
      <c r="E14" s="16"/>
      <c r="H14" s="16"/>
    </row>
    <row r="15" spans="1:11" x14ac:dyDescent="0.3">
      <c r="B15" s="1"/>
    </row>
    <row r="16" spans="1:11" x14ac:dyDescent="0.3">
      <c r="B16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A3737-BE7C-4AA8-A79E-19BF408A818C}">
  <sheetPr codeName="Hoja1"/>
  <dimension ref="A1:L26"/>
  <sheetViews>
    <sheetView workbookViewId="0">
      <selection activeCell="D22" sqref="D22"/>
    </sheetView>
  </sheetViews>
  <sheetFormatPr baseColWidth="10" defaultRowHeight="14.4" x14ac:dyDescent="0.3"/>
  <cols>
    <col min="1" max="1" width="42.5546875" bestFit="1" customWidth="1"/>
    <col min="5" max="5" width="17.44140625" bestFit="1" customWidth="1"/>
    <col min="6" max="6" width="16.33203125" bestFit="1" customWidth="1"/>
    <col min="7" max="7" width="19.33203125" bestFit="1" customWidth="1"/>
    <col min="12" max="12" width="41.21875" bestFit="1" customWidth="1"/>
  </cols>
  <sheetData>
    <row r="1" spans="1:12" x14ac:dyDescent="0.3">
      <c r="A1" t="s">
        <v>58</v>
      </c>
      <c r="B1" t="s">
        <v>48</v>
      </c>
      <c r="C1" t="s">
        <v>47</v>
      </c>
      <c r="D1" t="s">
        <v>0</v>
      </c>
      <c r="E1" t="s">
        <v>50</v>
      </c>
      <c r="F1" t="s">
        <v>51</v>
      </c>
      <c r="G1" t="s">
        <v>52</v>
      </c>
      <c r="H1" t="s">
        <v>46</v>
      </c>
      <c r="I1" t="s">
        <v>53</v>
      </c>
      <c r="J1" t="s">
        <v>57</v>
      </c>
      <c r="K1" t="s">
        <v>45</v>
      </c>
      <c r="L1" t="s">
        <v>59</v>
      </c>
    </row>
    <row r="2" spans="1:12" ht="15.6" x14ac:dyDescent="0.35">
      <c r="A2" s="15">
        <v>44840.676608796297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t="s">
        <v>49</v>
      </c>
      <c r="L2" s="15">
        <v>44840.676608796297</v>
      </c>
    </row>
    <row r="3" spans="1:12" ht="15.6" x14ac:dyDescent="0.35">
      <c r="A3" s="15"/>
    </row>
    <row r="4" spans="1:12" ht="15.6" x14ac:dyDescent="0.35">
      <c r="A4" s="15"/>
    </row>
    <row r="5" spans="1:12" ht="15.6" x14ac:dyDescent="0.35">
      <c r="A5" s="15"/>
    </row>
    <row r="6" spans="1:12" ht="15.6" x14ac:dyDescent="0.35">
      <c r="A6" s="15"/>
    </row>
    <row r="7" spans="1:12" ht="15.6" x14ac:dyDescent="0.35">
      <c r="A7" s="15"/>
    </row>
    <row r="8" spans="1:12" ht="15.6" x14ac:dyDescent="0.35">
      <c r="A8" s="15"/>
    </row>
    <row r="9" spans="1:12" ht="15.6" x14ac:dyDescent="0.35">
      <c r="A9" s="15"/>
    </row>
    <row r="10" spans="1:12" ht="15.6" x14ac:dyDescent="0.35">
      <c r="A10" s="15"/>
    </row>
    <row r="11" spans="1:12" ht="15.6" x14ac:dyDescent="0.35">
      <c r="A11" s="15"/>
    </row>
    <row r="12" spans="1:12" ht="15.6" x14ac:dyDescent="0.35">
      <c r="A12" s="15"/>
    </row>
    <row r="13" spans="1:12" ht="15.6" x14ac:dyDescent="0.35">
      <c r="A13" s="15"/>
    </row>
    <row r="14" spans="1:12" ht="15.6" x14ac:dyDescent="0.35">
      <c r="A14" s="15"/>
    </row>
    <row r="15" spans="1:12" ht="15.6" x14ac:dyDescent="0.35">
      <c r="A15" s="15"/>
    </row>
    <row r="16" spans="1:12" ht="15.6" x14ac:dyDescent="0.35">
      <c r="A16" s="15"/>
    </row>
    <row r="17" spans="1:1" ht="15.6" x14ac:dyDescent="0.35">
      <c r="A17" s="15"/>
    </row>
    <row r="18" spans="1:1" ht="15.6" x14ac:dyDescent="0.35">
      <c r="A18" s="15"/>
    </row>
    <row r="19" spans="1:1" ht="15.6" x14ac:dyDescent="0.35">
      <c r="A19" s="15"/>
    </row>
    <row r="20" spans="1:1" ht="15.6" x14ac:dyDescent="0.35">
      <c r="A20" s="15"/>
    </row>
    <row r="21" spans="1:1" ht="15.6" x14ac:dyDescent="0.35">
      <c r="A21" s="15"/>
    </row>
    <row r="22" spans="1:1" ht="15.6" x14ac:dyDescent="0.35">
      <c r="A22" s="15"/>
    </row>
    <row r="23" spans="1:1" ht="15.6" x14ac:dyDescent="0.35">
      <c r="A23" s="15"/>
    </row>
    <row r="24" spans="1:1" ht="15.6" x14ac:dyDescent="0.35">
      <c r="A24" s="15"/>
    </row>
    <row r="25" spans="1:1" ht="15.6" x14ac:dyDescent="0.35">
      <c r="A25" s="15"/>
    </row>
    <row r="26" spans="1:1" ht="15.6" x14ac:dyDescent="0.35">
      <c r="A26" s="1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84E6B-5D7C-47E7-A094-7660620EB7BB}">
  <sheetPr codeName="Hoja4"/>
  <dimension ref="A1:B6"/>
  <sheetViews>
    <sheetView workbookViewId="0">
      <selection activeCell="B5" sqref="B5"/>
    </sheetView>
  </sheetViews>
  <sheetFormatPr baseColWidth="10" defaultRowHeight="14.4" x14ac:dyDescent="0.3"/>
  <sheetData>
    <row r="1" spans="1:2" x14ac:dyDescent="0.3">
      <c r="A1" t="s">
        <v>54</v>
      </c>
      <c r="B1" t="s">
        <v>37</v>
      </c>
    </row>
    <row r="2" spans="1:2" x14ac:dyDescent="0.3">
      <c r="A2" t="s">
        <v>48</v>
      </c>
      <c r="B2">
        <v>0</v>
      </c>
    </row>
    <row r="3" spans="1:2" x14ac:dyDescent="0.3">
      <c r="A3" t="s">
        <v>47</v>
      </c>
      <c r="B3">
        <v>0</v>
      </c>
    </row>
    <row r="4" spans="1:2" x14ac:dyDescent="0.3">
      <c r="A4" t="s">
        <v>54</v>
      </c>
      <c r="B4">
        <v>0</v>
      </c>
    </row>
    <row r="5" spans="1:2" x14ac:dyDescent="0.3">
      <c r="A5" t="s">
        <v>56</v>
      </c>
      <c r="B5">
        <v>0</v>
      </c>
    </row>
    <row r="6" spans="1:2" x14ac:dyDescent="0.3">
      <c r="A6" t="s">
        <v>55</v>
      </c>
      <c r="B6">
        <f>SUBTOTAL(109,Tabla6[Monto])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A6666-73BE-487F-8CCF-150F44694476}">
  <sheetPr codeName="Hoja8"/>
  <dimension ref="A1:E3"/>
  <sheetViews>
    <sheetView workbookViewId="0">
      <selection activeCell="D28" sqref="D28"/>
    </sheetView>
  </sheetViews>
  <sheetFormatPr baseColWidth="10" defaultRowHeight="14.4" x14ac:dyDescent="0.3"/>
  <cols>
    <col min="1" max="1" width="31.77734375" bestFit="1" customWidth="1"/>
    <col min="2" max="2" width="7" bestFit="1" customWidth="1"/>
    <col min="3" max="3" width="11.21875" bestFit="1" customWidth="1"/>
    <col min="4" max="4" width="14.6640625" bestFit="1" customWidth="1"/>
    <col min="5" max="5" width="10" bestFit="1" customWidth="1"/>
  </cols>
  <sheetData>
    <row r="1" spans="1:5" x14ac:dyDescent="0.3">
      <c r="A1" t="s">
        <v>6</v>
      </c>
      <c r="B1" t="s">
        <v>38</v>
      </c>
      <c r="C1" t="s">
        <v>39</v>
      </c>
      <c r="D1" t="s">
        <v>40</v>
      </c>
      <c r="E1" t="s">
        <v>41</v>
      </c>
    </row>
    <row r="2" spans="1:5" x14ac:dyDescent="0.3">
      <c r="A2" s="1"/>
      <c r="B2" t="str">
        <f>IF(A2="","",TEXT(A2,"MMMM"))</f>
        <v/>
      </c>
      <c r="E2" s="17"/>
    </row>
    <row r="3" spans="1:5" x14ac:dyDescent="0.3">
      <c r="A3" s="1"/>
      <c r="E3" s="17"/>
    </row>
  </sheetData>
  <pageMargins left="0.7" right="0.7" top="0.75" bottom="0.75" header="0.3" footer="0.3"/>
  <pageSetup orientation="portrait" r:id="rId1"/>
  <ignoredErrors>
    <ignoredError sqref="B2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CB8312C-A4E9-42EF-BDAA-9834DF5B3D29}">
          <x14:formula1>
            <xm:f>DATOS!$A$1:$A$7</xm:f>
          </x14:formula1>
          <xm:sqref>C2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79510-A830-475A-A682-F4932AB5D673}">
  <sheetPr codeName="Hoja3"/>
  <dimension ref="A1:C2"/>
  <sheetViews>
    <sheetView workbookViewId="0">
      <selection activeCell="C2" sqref="C2"/>
    </sheetView>
  </sheetViews>
  <sheetFormatPr baseColWidth="10" defaultRowHeight="14.4" x14ac:dyDescent="0.3"/>
  <sheetData>
    <row r="1" spans="1:3" x14ac:dyDescent="0.3">
      <c r="A1" t="s">
        <v>3</v>
      </c>
      <c r="B1" t="s">
        <v>7</v>
      </c>
      <c r="C1" t="s">
        <v>4</v>
      </c>
    </row>
    <row r="2" spans="1:3" x14ac:dyDescent="0.3">
      <c r="A2" t="s">
        <v>8</v>
      </c>
      <c r="B2" t="s">
        <v>9</v>
      </c>
      <c r="C2">
        <v>85211357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AAC87-C723-4CB5-AEDA-4E34AB273DD3}">
  <sheetPr codeName="Hoja5"/>
  <dimension ref="B2:Q20"/>
  <sheetViews>
    <sheetView showGridLines="0" topLeftCell="A2" zoomScale="90" zoomScaleNormal="90" workbookViewId="0">
      <selection activeCell="E5" sqref="E5"/>
    </sheetView>
  </sheetViews>
  <sheetFormatPr baseColWidth="10" defaultRowHeight="14.4" x14ac:dyDescent="0.3"/>
  <cols>
    <col min="1" max="1" width="3.88671875" customWidth="1"/>
    <col min="2" max="2" width="14.21875" bestFit="1" customWidth="1"/>
    <col min="3" max="3" width="17.5546875" bestFit="1" customWidth="1"/>
    <col min="4" max="5" width="13.88671875" bestFit="1" customWidth="1"/>
    <col min="6" max="6" width="13.88671875" customWidth="1"/>
    <col min="7" max="7" width="16.21875" bestFit="1" customWidth="1"/>
    <col min="8" max="8" width="14.5546875" bestFit="1" customWidth="1"/>
    <col min="9" max="10" width="13.88671875" bestFit="1" customWidth="1"/>
    <col min="11" max="11" width="14.5546875" bestFit="1" customWidth="1"/>
    <col min="12" max="12" width="13.88671875" bestFit="1" customWidth="1"/>
    <col min="13" max="14" width="13.88671875" customWidth="1"/>
    <col min="15" max="15" width="11" bestFit="1" customWidth="1"/>
    <col min="16" max="16" width="13.77734375" bestFit="1" customWidth="1"/>
    <col min="17" max="17" width="12.5546875" bestFit="1" customWidth="1"/>
  </cols>
  <sheetData>
    <row r="2" spans="2:17" ht="54.9" customHeight="1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2:17" ht="27" customHeight="1" x14ac:dyDescent="0.55000000000000004">
      <c r="B3" s="2"/>
      <c r="C3" s="18">
        <v>2022</v>
      </c>
      <c r="D3" s="19"/>
      <c r="E3" s="19"/>
      <c r="F3" s="18">
        <v>2023</v>
      </c>
      <c r="G3" s="19"/>
      <c r="H3" s="19"/>
      <c r="I3" s="19"/>
      <c r="J3" s="19"/>
      <c r="K3" s="19"/>
      <c r="L3" s="19"/>
      <c r="M3" s="19"/>
      <c r="N3" s="19"/>
      <c r="O3" s="19"/>
      <c r="P3" s="19"/>
      <c r="Q3" s="20"/>
    </row>
    <row r="4" spans="2:17" ht="18" thickBot="1" x14ac:dyDescent="0.35">
      <c r="B4" s="3"/>
      <c r="C4" s="3" t="s">
        <v>22</v>
      </c>
      <c r="D4" s="3" t="s">
        <v>23</v>
      </c>
      <c r="E4" s="3" t="s">
        <v>24</v>
      </c>
      <c r="F4" s="3" t="s">
        <v>13</v>
      </c>
      <c r="G4" s="3" t="s">
        <v>14</v>
      </c>
      <c r="H4" s="3" t="s">
        <v>15</v>
      </c>
      <c r="I4" s="3" t="s">
        <v>16</v>
      </c>
      <c r="J4" s="3" t="s">
        <v>17</v>
      </c>
      <c r="K4" s="3" t="s">
        <v>18</v>
      </c>
      <c r="L4" s="3" t="s">
        <v>19</v>
      </c>
      <c r="M4" s="3" t="s">
        <v>20</v>
      </c>
      <c r="N4" s="3" t="s">
        <v>21</v>
      </c>
      <c r="O4" s="3" t="s">
        <v>22</v>
      </c>
      <c r="P4" s="3" t="s">
        <v>23</v>
      </c>
      <c r="Q4" s="3" t="s">
        <v>24</v>
      </c>
    </row>
    <row r="5" spans="2:17" ht="18.600000000000001" thickBot="1" x14ac:dyDescent="0.4">
      <c r="B5" s="4" t="s">
        <v>25</v>
      </c>
      <c r="C5" s="5">
        <f>SUMIFS(Partidos[TOTAL],Partidos[MES],C4,Partidos[ELIMINADA],FALSE)</f>
        <v>0</v>
      </c>
      <c r="D5" s="5">
        <f>SUMIFS(Partidos[TOTAL],Partidos[MES],D4,Partidos[ELIMINADA],FALSE)</f>
        <v>0</v>
      </c>
      <c r="E5" s="5">
        <f>SUMIFS(Partidos[TOTAL],Partidos[MES],E4,Partidos[ELIMINADA],FALSE)</f>
        <v>0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2:17" ht="18.600000000000001" thickBot="1" x14ac:dyDescent="0.4">
      <c r="B6" s="4" t="s">
        <v>26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2:17" ht="18.600000000000001" thickBot="1" x14ac:dyDescent="0.4">
      <c r="B7" s="4" t="s">
        <v>27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2:17" ht="18.600000000000001" thickBot="1" x14ac:dyDescent="0.4">
      <c r="B8" s="6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</row>
    <row r="9" spans="2:17" ht="19.2" thickTop="1" thickBot="1" x14ac:dyDescent="0.4">
      <c r="B9" s="8" t="s">
        <v>26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2:17" ht="18.600000000000001" thickBot="1" x14ac:dyDescent="0.4">
      <c r="B10" s="8" t="s">
        <v>8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2:17" ht="18.600000000000001" thickBot="1" x14ac:dyDescent="0.4">
      <c r="B11" s="8" t="s">
        <v>34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2:17" ht="18.600000000000001" thickBot="1" x14ac:dyDescent="0.4">
      <c r="B12" s="8" t="s">
        <v>33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2:17" ht="18.600000000000001" thickBot="1" x14ac:dyDescent="0.4">
      <c r="B13" s="8" t="s">
        <v>32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2:17" ht="18.600000000000001" thickBot="1" x14ac:dyDescent="0.4">
      <c r="B14" s="8" t="s">
        <v>30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2:17" ht="18.600000000000001" thickBot="1" x14ac:dyDescent="0.4">
      <c r="B15" s="8" t="s">
        <v>31</v>
      </c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2:17" ht="18.600000000000001" thickBot="1" x14ac:dyDescent="0.4">
      <c r="B16" s="9" t="s">
        <v>29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</row>
    <row r="17" spans="2:17" ht="15.6" thickTop="1" thickBot="1" x14ac:dyDescent="0.35">
      <c r="B17" s="10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</row>
    <row r="18" spans="2:17" ht="31.8" thickBot="1" x14ac:dyDescent="0.35">
      <c r="B18" s="12" t="s">
        <v>35</v>
      </c>
      <c r="C18" s="13">
        <f t="shared" ref="C18:E18" si="0">C8-C16</f>
        <v>0</v>
      </c>
      <c r="D18" s="13">
        <f t="shared" si="0"/>
        <v>0</v>
      </c>
      <c r="E18" s="13">
        <f t="shared" si="0"/>
        <v>0</v>
      </c>
      <c r="F18" s="13">
        <f t="shared" ref="F18:N18" si="1">F8-F16</f>
        <v>0</v>
      </c>
      <c r="G18" s="13">
        <f t="shared" si="1"/>
        <v>0</v>
      </c>
      <c r="H18" s="13">
        <f t="shared" si="1"/>
        <v>0</v>
      </c>
      <c r="I18" s="13">
        <f t="shared" si="1"/>
        <v>0</v>
      </c>
      <c r="J18" s="13">
        <f t="shared" si="1"/>
        <v>0</v>
      </c>
      <c r="K18" s="13">
        <f t="shared" si="1"/>
        <v>0</v>
      </c>
      <c r="L18" s="13">
        <f t="shared" si="1"/>
        <v>0</v>
      </c>
      <c r="M18" s="13">
        <f t="shared" si="1"/>
        <v>0</v>
      </c>
      <c r="N18" s="13">
        <f t="shared" si="1"/>
        <v>0</v>
      </c>
      <c r="O18" s="13">
        <f t="shared" ref="O18:Q18" si="2">O8-O16</f>
        <v>0</v>
      </c>
      <c r="P18" s="13">
        <f t="shared" si="2"/>
        <v>0</v>
      </c>
      <c r="Q18" s="13">
        <f t="shared" si="2"/>
        <v>0</v>
      </c>
    </row>
    <row r="19" spans="2:17" ht="15" thickBot="1" x14ac:dyDescent="0.35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</row>
    <row r="20" spans="2:17" ht="31.8" thickBot="1" x14ac:dyDescent="0.35">
      <c r="B20" s="12" t="s">
        <v>36</v>
      </c>
      <c r="C20" s="13">
        <f>N20+C18</f>
        <v>0</v>
      </c>
      <c r="D20" s="13">
        <f t="shared" ref="D20:E20" si="3">C20+D18</f>
        <v>0</v>
      </c>
      <c r="E20" s="13">
        <f t="shared" si="3"/>
        <v>0</v>
      </c>
      <c r="F20" s="13">
        <f>F18</f>
        <v>0</v>
      </c>
      <c r="G20" s="13">
        <f t="shared" ref="G20:N20" si="4">F20+G18</f>
        <v>0</v>
      </c>
      <c r="H20" s="13">
        <f t="shared" si="4"/>
        <v>0</v>
      </c>
      <c r="I20" s="13">
        <f t="shared" si="4"/>
        <v>0</v>
      </c>
      <c r="J20" s="13">
        <f t="shared" si="4"/>
        <v>0</v>
      </c>
      <c r="K20" s="13">
        <f t="shared" si="4"/>
        <v>0</v>
      </c>
      <c r="L20" s="13">
        <f t="shared" si="4"/>
        <v>0</v>
      </c>
      <c r="M20" s="13">
        <f t="shared" si="4"/>
        <v>0</v>
      </c>
      <c r="N20" s="13">
        <f t="shared" si="4"/>
        <v>0</v>
      </c>
      <c r="O20" s="13">
        <f>Z20+O18</f>
        <v>0</v>
      </c>
      <c r="P20" s="13">
        <f t="shared" ref="P20" si="5">O20+P18</f>
        <v>0</v>
      </c>
      <c r="Q20" s="13">
        <f t="shared" ref="Q20" si="6">P20+Q18</f>
        <v>0</v>
      </c>
    </row>
  </sheetData>
  <sortState xmlns:xlrd2="http://schemas.microsoft.com/office/spreadsheetml/2017/richdata2" ref="B9:B16">
    <sortCondition ref="B9:B16"/>
  </sortState>
  <mergeCells count="2">
    <mergeCell ref="C3:E3"/>
    <mergeCell ref="F3:Q3"/>
  </mergeCells>
  <pageMargins left="0.7" right="0.7" top="0.75" bottom="0.75" header="0.3" footer="0.3"/>
  <pageSetup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9C7FF1F0-7EB1-41B2-82A7-3265C1FF65B2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C18:Q18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F7080-7E8A-49D3-8BC6-87D35799A7DB}">
  <sheetPr codeName="Hoja7"/>
  <dimension ref="A1:A7"/>
  <sheetViews>
    <sheetView tabSelected="1" workbookViewId="0">
      <selection activeCell="A7" sqref="A7"/>
    </sheetView>
  </sheetViews>
  <sheetFormatPr baseColWidth="10" defaultRowHeight="14.4" x14ac:dyDescent="0.3"/>
  <sheetData>
    <row r="1" spans="1:1" x14ac:dyDescent="0.3">
      <c r="A1" t="s">
        <v>29</v>
      </c>
    </row>
    <row r="2" spans="1:1" x14ac:dyDescent="0.3">
      <c r="A2" t="s">
        <v>26</v>
      </c>
    </row>
    <row r="3" spans="1:1" x14ac:dyDescent="0.3">
      <c r="A3" t="s">
        <v>30</v>
      </c>
    </row>
    <row r="4" spans="1:1" x14ac:dyDescent="0.3">
      <c r="A4" t="s">
        <v>31</v>
      </c>
    </row>
    <row r="5" spans="1:1" x14ac:dyDescent="0.3">
      <c r="A5" t="s">
        <v>8</v>
      </c>
    </row>
    <row r="6" spans="1:1" x14ac:dyDescent="0.3">
      <c r="A6" t="s">
        <v>32</v>
      </c>
    </row>
    <row r="7" spans="1:1" x14ac:dyDescent="0.3">
      <c r="A7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Partidos</vt:lpstr>
      <vt:lpstr>Caja</vt:lpstr>
      <vt:lpstr>Bancos</vt:lpstr>
      <vt:lpstr>Gastos</vt:lpstr>
      <vt:lpstr>Clientes</vt:lpstr>
      <vt:lpstr>Reporte Mensual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Dylan Mendez</dc:creator>
  <cp:lastModifiedBy>Dylan Mendez</cp:lastModifiedBy>
  <dcterms:created xsi:type="dcterms:W3CDTF">2022-10-03T23:31:55Z</dcterms:created>
  <dcterms:modified xsi:type="dcterms:W3CDTF">2022-10-26T01:11:56Z</dcterms:modified>
</cp:coreProperties>
</file>